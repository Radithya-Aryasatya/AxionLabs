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ed Truck Cargo Manifest" sheetId="1" state="visible" r:id="rId1"/>
  </sheets>
  <definedNames>
    <definedName name="_xlnm._FilterDatabase" localSheetId="0" hidden="1">'Optimized Truck Cargo Manifest'!$A$1:$P$9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1.4257812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4.85546875" customWidth="1" min="11" max="11"/>
    <col width="13" customWidth="1" min="12" max="12"/>
    <col width="22" customWidth="1" min="13" max="13"/>
    <col width="18.42578125" customWidth="1" min="14" max="14"/>
    <col width="17.140625" customWidth="1" min="15" max="15"/>
    <col width="13" customWidth="1" min="16" max="16"/>
  </cols>
  <sheetData>
    <row r="1" ht="24" customHeight="1">
      <c r="A1" s="1" t="inlineStr">
        <is>
          <t>Package ID</t>
        </is>
      </c>
      <c r="B1" s="1" t="inlineStr">
        <is>
          <t>Tracking Number</t>
        </is>
      </c>
      <c r="C1" s="1" t="inlineStr">
        <is>
          <t>Item Description</t>
        </is>
      </c>
      <c r="D1" s="1" t="inlineStr">
        <is>
          <t>Box Quantity</t>
        </is>
      </c>
      <c r="E1" s="1" t="inlineStr">
        <is>
          <t>Items Per Box</t>
        </is>
      </c>
      <c r="F1" s="1" t="inlineStr">
        <is>
          <t>Box Weight (kg)</t>
        </is>
      </c>
      <c r="G1" s="1" t="inlineStr">
        <is>
          <t>Length (cm)</t>
        </is>
      </c>
      <c r="H1" s="1" t="inlineStr">
        <is>
          <t>Width (cm)</t>
        </is>
      </c>
      <c r="I1" s="1" t="inlineStr">
        <is>
          <t>Height (cm)</t>
        </is>
      </c>
      <c r="J1" s="1" t="inlineStr">
        <is>
          <t>Single Box Vol (m3)</t>
        </is>
      </c>
      <c r="K1" s="1" t="inlineStr">
        <is>
          <t>Line Total Vol (m3)</t>
        </is>
      </c>
      <c r="L1" s="1" t="inlineStr">
        <is>
          <t>Fragile</t>
        </is>
      </c>
      <c r="M1" s="1" t="inlineStr">
        <is>
          <t>Handling Instructions</t>
        </is>
      </c>
      <c r="N1" s="1" t="inlineStr">
        <is>
          <t>Storage Zone</t>
        </is>
      </c>
      <c r="O1" s="1" t="inlineStr">
        <is>
          <t>Unloading Sequence</t>
        </is>
      </c>
      <c r="P1" s="1" t="inlineStr">
        <is>
          <t>Destination City</t>
        </is>
      </c>
    </row>
    <row r="2">
      <c r="A2" s="2" t="inlineStr">
        <is>
          <t>PKG-2009</t>
        </is>
      </c>
      <c r="B2" s="2" t="inlineStr">
        <is>
          <t>TRK-90009</t>
        </is>
      </c>
      <c r="C2" s="2" t="inlineStr">
        <is>
          <t>Appliances Box</t>
        </is>
      </c>
      <c r="D2" s="2" t="n">
        <v>31</v>
      </c>
      <c r="E2" s="2" t="n">
        <v>1</v>
      </c>
      <c r="F2" s="3" t="n">
        <v>13</v>
      </c>
      <c r="G2" s="2" t="n">
        <v>70</v>
      </c>
      <c r="H2" s="2" t="n">
        <v>40</v>
      </c>
      <c r="I2" s="2" t="n">
        <v>40</v>
      </c>
      <c r="J2" s="4">
        <f>G2*H2*I2/1000000</f>
        <v/>
      </c>
      <c r="K2" s="4">
        <f>J2*D2</f>
        <v/>
      </c>
      <c r="L2" s="2" t="inlineStr">
        <is>
          <t>No</t>
        </is>
      </c>
      <c r="M2" s="2" t="inlineStr">
        <is>
          <t>Standard stackable</t>
        </is>
      </c>
      <c r="N2" s="2" t="inlineStr">
        <is>
          <t>Zone A-4</t>
        </is>
      </c>
      <c r="O2" s="2" t="n">
        <v>1</v>
      </c>
      <c r="P2" s="2" t="inlineStr">
        <is>
          <t>Portland</t>
        </is>
      </c>
    </row>
    <row r="3">
      <c r="A3" s="2" t="inlineStr">
        <is>
          <t>PKG-2001</t>
        </is>
      </c>
      <c r="B3" s="2" t="inlineStr">
        <is>
          <t>TRK-90001</t>
        </is>
      </c>
      <c r="C3" s="2" t="inlineStr">
        <is>
          <t>Standard Shipping Cartons (Electronics)</t>
        </is>
      </c>
      <c r="D3" s="2" t="n">
        <v>71</v>
      </c>
      <c r="E3" s="2" t="n">
        <v>10</v>
      </c>
      <c r="F3" s="3" t="n">
        <v>8.5</v>
      </c>
      <c r="G3" s="2" t="n">
        <v>50</v>
      </c>
      <c r="H3" s="2" t="n">
        <v>50</v>
      </c>
      <c r="I3" s="2" t="n">
        <v>40</v>
      </c>
      <c r="J3" s="4">
        <f>G3*H3*I3/1000000</f>
        <v/>
      </c>
      <c r="K3" s="4">
        <f>J3*D3</f>
        <v/>
      </c>
      <c r="L3" s="2" t="inlineStr">
        <is>
          <t>No</t>
        </is>
      </c>
      <c r="M3" s="2" t="inlineStr">
        <is>
          <t>Standard stackable</t>
        </is>
      </c>
      <c r="N3" s="2" t="inlineStr">
        <is>
          <t>Zone A-1</t>
        </is>
      </c>
      <c r="O3" s="2" t="n">
        <v>2</v>
      </c>
      <c r="P3" s="2" t="inlineStr">
        <is>
          <t>Chicago</t>
        </is>
      </c>
    </row>
    <row r="4">
      <c r="A4" s="2" t="inlineStr">
        <is>
          <t>PKG-2002</t>
        </is>
      </c>
      <c r="B4" s="2" t="inlineStr">
        <is>
          <t>TRK-90002</t>
        </is>
      </c>
      <c r="C4" s="2" t="inlineStr">
        <is>
          <t>Large Home Appliance Crates</t>
        </is>
      </c>
      <c r="D4" s="2" t="n">
        <v>5</v>
      </c>
      <c r="E4" s="2" t="n">
        <v>1</v>
      </c>
      <c r="F4" s="3" t="n">
        <v>45</v>
      </c>
      <c r="G4" s="2" t="n">
        <v>80</v>
      </c>
      <c r="H4" s="2" t="n">
        <v>120</v>
      </c>
      <c r="I4" s="2" t="n">
        <v>120</v>
      </c>
      <c r="J4" s="4">
        <f>G4*H4*I4/1000000</f>
        <v/>
      </c>
      <c r="K4" s="4">
        <f>J4*D4</f>
        <v/>
      </c>
      <c r="L4" s="2" t="inlineStr">
        <is>
          <t>Yes</t>
        </is>
      </c>
      <c r="M4" s="2" t="inlineStr">
        <is>
          <t>Fragile - Base load only</t>
        </is>
      </c>
      <c r="N4" s="2" t="inlineStr">
        <is>
          <t>Zone C-2</t>
        </is>
      </c>
      <c r="O4" s="2" t="n">
        <v>3</v>
      </c>
      <c r="P4" s="2" t="inlineStr">
        <is>
          <t>New York</t>
        </is>
      </c>
    </row>
    <row r="5">
      <c r="A5" s="2" t="inlineStr">
        <is>
          <t>PKG-2003</t>
        </is>
      </c>
      <c r="B5" s="2" t="inlineStr">
        <is>
          <t>TRK-90003</t>
        </is>
      </c>
      <c r="C5" s="2" t="inlineStr">
        <is>
          <t>Medium Storage Boxes (Apparel)</t>
        </is>
      </c>
      <c r="D5" s="2" t="n">
        <v>78</v>
      </c>
      <c r="E5" s="2" t="n">
        <v>20</v>
      </c>
      <c r="F5" s="3" t="n">
        <v>10</v>
      </c>
      <c r="G5" s="2" t="n">
        <v>50</v>
      </c>
      <c r="H5" s="2" t="n">
        <v>40</v>
      </c>
      <c r="I5" s="2" t="n">
        <v>40</v>
      </c>
      <c r="J5" s="4">
        <f>G5*H5*I5/1000000</f>
        <v/>
      </c>
      <c r="K5" s="4">
        <f>J5*D5</f>
        <v/>
      </c>
      <c r="L5" s="2" t="inlineStr">
        <is>
          <t>No</t>
        </is>
      </c>
      <c r="M5" s="2" t="inlineStr">
        <is>
          <t>Standard stackable</t>
        </is>
      </c>
      <c r="N5" s="2" t="inlineStr">
        <is>
          <t>Zone A-3</t>
        </is>
      </c>
      <c r="O5" s="2" t="n">
        <v>4</v>
      </c>
      <c r="P5" s="2" t="inlineStr">
        <is>
          <t>Dallas</t>
        </is>
      </c>
    </row>
    <row r="6">
      <c r="A6" s="2" t="inlineStr">
        <is>
          <t>PKG-2005</t>
        </is>
      </c>
      <c r="B6" s="2" t="inlineStr">
        <is>
          <t>TRK-90005</t>
        </is>
      </c>
      <c r="C6" s="2" t="inlineStr">
        <is>
          <t>Glassware &amp; Ceramic Cargo</t>
        </is>
      </c>
      <c r="D6" s="2" t="n">
        <v>17</v>
      </c>
      <c r="E6" s="2" t="n">
        <v>8</v>
      </c>
      <c r="F6" s="3" t="n">
        <v>14</v>
      </c>
      <c r="G6" s="2" t="n">
        <v>50</v>
      </c>
      <c r="H6" s="2" t="n">
        <v>50</v>
      </c>
      <c r="I6" s="2" t="n">
        <v>45</v>
      </c>
      <c r="J6" s="4">
        <f>G6*H6*I6/1000000</f>
        <v/>
      </c>
      <c r="K6" s="4">
        <f>J6*D6</f>
        <v/>
      </c>
      <c r="L6" s="2" t="inlineStr">
        <is>
          <t>Yes</t>
        </is>
      </c>
      <c r="M6" s="2" t="inlineStr">
        <is>
          <t>Fragile - Top load only</t>
        </is>
      </c>
      <c r="N6" s="2" t="inlineStr">
        <is>
          <t>Zone C-1</t>
        </is>
      </c>
      <c r="O6" s="2" t="n">
        <v>5</v>
      </c>
      <c r="P6" s="2" t="inlineStr">
        <is>
          <t>Seattle</t>
        </is>
      </c>
    </row>
    <row r="7">
      <c r="A7" s="2" t="inlineStr">
        <is>
          <t>PKG-2006</t>
        </is>
      </c>
      <c r="B7" s="2" t="inlineStr">
        <is>
          <t>TRK-90006</t>
        </is>
      </c>
      <c r="C7" s="2" t="inlineStr">
        <is>
          <t>Industrial Tool Cases</t>
        </is>
      </c>
      <c r="D7" s="2" t="n">
        <v>19</v>
      </c>
      <c r="E7" s="2" t="n">
        <v>2</v>
      </c>
      <c r="F7" s="3" t="n">
        <v>22</v>
      </c>
      <c r="G7" s="2" t="n">
        <v>80</v>
      </c>
      <c r="H7" s="2" t="n">
        <v>60</v>
      </c>
      <c r="I7" s="2" t="n">
        <v>40</v>
      </c>
      <c r="J7" s="4">
        <f>G7*H7*I7/1000000</f>
        <v/>
      </c>
      <c r="K7" s="4">
        <f>J7*D7</f>
        <v/>
      </c>
      <c r="L7" s="2" t="inlineStr">
        <is>
          <t>No</t>
        </is>
      </c>
      <c r="M7" s="2" t="inlineStr">
        <is>
          <t>Heavy load - Lower deck</t>
        </is>
      </c>
      <c r="N7" s="2" t="inlineStr">
        <is>
          <t>Zone B-3</t>
        </is>
      </c>
      <c r="O7" s="2" t="n">
        <v>6</v>
      </c>
      <c r="P7" s="2" t="inlineStr">
        <is>
          <t>Miami</t>
        </is>
      </c>
    </row>
    <row r="8">
      <c r="A8" s="2" t="inlineStr">
        <is>
          <t>PKG-2007</t>
        </is>
      </c>
      <c r="B8" s="2" t="inlineStr">
        <is>
          <t>TRK-90007</t>
        </is>
      </c>
      <c r="C8" s="2" t="inlineStr">
        <is>
          <t>Bulk Office Paper Trays</t>
        </is>
      </c>
      <c r="D8" s="2" t="n">
        <v>22</v>
      </c>
      <c r="E8" s="2" t="n">
        <v>5</v>
      </c>
      <c r="F8" s="3" t="n">
        <v>12.5</v>
      </c>
      <c r="G8" s="2" t="n">
        <v>45</v>
      </c>
      <c r="H8" s="2" t="n">
        <v>35</v>
      </c>
      <c r="I8" s="2" t="n">
        <v>30</v>
      </c>
      <c r="J8" s="4">
        <f>G8*H8*I8/1000000</f>
        <v/>
      </c>
      <c r="K8" s="4">
        <f>J8*D8</f>
        <v/>
      </c>
      <c r="L8" s="2" t="inlineStr">
        <is>
          <t>No</t>
        </is>
      </c>
      <c r="M8" s="2" t="inlineStr">
        <is>
          <t>Standard stackable</t>
        </is>
      </c>
      <c r="N8" s="2" t="inlineStr">
        <is>
          <t>Zone A-2</t>
        </is>
      </c>
      <c r="O8" s="2" t="n">
        <v>7</v>
      </c>
      <c r="P8" s="2" t="inlineStr">
        <is>
          <t>Houston</t>
        </is>
      </c>
    </row>
    <row r="9">
      <c r="A9" s="2" t="inlineStr">
        <is>
          <t>PKG-2008</t>
        </is>
      </c>
      <c r="B9" s="2" t="inlineStr">
        <is>
          <t>TRK-90008</t>
        </is>
      </c>
      <c r="C9" s="2" t="inlineStr">
        <is>
          <t>Precision LED Panels</t>
        </is>
      </c>
      <c r="D9" s="2" t="n">
        <v>4</v>
      </c>
      <c r="E9" s="2" t="n">
        <v>4</v>
      </c>
      <c r="F9" s="3" t="n">
        <v>18.5</v>
      </c>
      <c r="G9" s="2" t="n">
        <v>80</v>
      </c>
      <c r="H9" s="2" t="n">
        <v>75</v>
      </c>
      <c r="I9" s="2" t="n">
        <v>50</v>
      </c>
      <c r="J9" s="4">
        <f>G9*H9*I9/1000000</f>
        <v/>
      </c>
      <c r="K9" s="4">
        <f>J9*D9</f>
        <v/>
      </c>
      <c r="L9" s="2" t="inlineStr">
        <is>
          <t>Yes</t>
        </is>
      </c>
      <c r="M9" s="2" t="inlineStr">
        <is>
          <t>Fragile - Handle with care</t>
        </is>
      </c>
      <c r="N9" s="2" t="inlineStr">
        <is>
          <t>Zone C-3</t>
        </is>
      </c>
      <c r="O9" s="2" t="n">
        <v>8</v>
      </c>
      <c r="P9" s="2" t="inlineStr">
        <is>
          <t>Denver</t>
        </is>
      </c>
    </row>
  </sheetData>
  <autoFilter ref="A1: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2026-09-19T19:48:59Z</dcterms:created>
  <dcterms:modified xmlns:dcterms="http://purl.org/dc/terms/" xmlns:xsi="http://www.w3.org/2001/XMLSchema-instance" xsi:type="dcterms:W3CDTF">2026-09-19T19:48:59Z</dcterms:modified>
</cp:coreProperties>
</file>