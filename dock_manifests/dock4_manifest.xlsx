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vscode\tsshit\"/>
    </mc:Choice>
  </mc:AlternateContent>
  <bookViews>
    <workbookView xWindow="0" yWindow="0" windowWidth="20490" windowHeight="7050"/>
  </bookViews>
  <sheets>
    <sheet name="Optimized Truck Cargo Manifest" sheetId="1" r:id="rId1"/>
  </sheets>
  <definedNames>
    <definedName name="_xlnm._FilterDatabase" localSheetId="0" hidden="1">'Optimized Truck Cargo Manifest'!$A$1:$P$8</definedName>
  </definedNames>
  <calcPr calcId="162913"/>
</workbook>
</file>

<file path=xl/calcChain.xml><?xml version="1.0" encoding="utf-8"?>
<calcChain xmlns="http://schemas.openxmlformats.org/spreadsheetml/2006/main">
  <c r="J8" i="1" l="1"/>
  <c r="K8" i="1" s="1"/>
  <c r="K7" i="1"/>
  <c r="J7" i="1"/>
  <c r="J6" i="1"/>
  <c r="K6" i="1" s="1"/>
  <c r="K5" i="1"/>
  <c r="J5" i="1"/>
  <c r="J4" i="1"/>
  <c r="K4" i="1" s="1"/>
  <c r="K3" i="1"/>
  <c r="J3" i="1"/>
  <c r="J2" i="1"/>
  <c r="K2" i="1" s="1"/>
</calcChain>
</file>

<file path=xl/sharedStrings.xml><?xml version="1.0" encoding="utf-8"?>
<sst xmlns="http://schemas.openxmlformats.org/spreadsheetml/2006/main" count="65" uniqueCount="57">
  <si>
    <t>Package ID</t>
  </si>
  <si>
    <t>Tracking Number</t>
  </si>
  <si>
    <t>Item Description</t>
  </si>
  <si>
    <t>Box Quantity</t>
  </si>
  <si>
    <t>Items Per Box</t>
  </si>
  <si>
    <t>Box Weight (kg)</t>
  </si>
  <si>
    <t>Length (cm)</t>
  </si>
  <si>
    <t>Width (cm)</t>
  </si>
  <si>
    <t>Height (cm)</t>
  </si>
  <si>
    <t>Single Box Vol (m3)</t>
  </si>
  <si>
    <t>Line Total Vol (m3)</t>
  </si>
  <si>
    <t>Fragile</t>
  </si>
  <si>
    <t>Handling Instructions</t>
  </si>
  <si>
    <t>Storage Zone</t>
  </si>
  <si>
    <t>Unloading Sequence</t>
  </si>
  <si>
    <t>Destination City</t>
  </si>
  <si>
    <t>PKG-2009</t>
  </si>
  <si>
    <t>TRK-90009</t>
  </si>
  <si>
    <t>Appliances Box</t>
  </si>
  <si>
    <t>No</t>
  </si>
  <si>
    <t>Standard stackable</t>
  </si>
  <si>
    <t>Zone A-4</t>
  </si>
  <si>
    <t>Portland</t>
  </si>
  <si>
    <t>PKG-2001</t>
  </si>
  <si>
    <t>TRK-90001</t>
  </si>
  <si>
    <t>Standard Shipping Cartons (Electronics)</t>
  </si>
  <si>
    <t>Zone A-1</t>
  </si>
  <si>
    <t>Chicago</t>
  </si>
  <si>
    <t>PKG-2002</t>
  </si>
  <si>
    <t>TRK-90002</t>
  </si>
  <si>
    <t>Large Home Appliance Crates</t>
  </si>
  <si>
    <t>Yes</t>
  </si>
  <si>
    <t>Fragile - Base load only</t>
  </si>
  <si>
    <t>Zone C-2</t>
  </si>
  <si>
    <t>New York</t>
  </si>
  <si>
    <t>PKG-2003</t>
  </si>
  <si>
    <t>TRK-90003</t>
  </si>
  <si>
    <t>Medium Storage Boxes (Apparel)</t>
  </si>
  <si>
    <t>Zone A-3</t>
  </si>
  <si>
    <t>Dallas</t>
  </si>
  <si>
    <t>PKG-2005</t>
  </si>
  <si>
    <t>TRK-90005</t>
  </si>
  <si>
    <t>Glassware &amp; Ceramic Cargo</t>
  </si>
  <si>
    <t>Fragile - Top load only</t>
  </si>
  <si>
    <t>Zone C-1</t>
  </si>
  <si>
    <t>Seattle</t>
  </si>
  <si>
    <t>PKG-2006</t>
  </si>
  <si>
    <t>TRK-90006</t>
  </si>
  <si>
    <t>Industrial Tool Cases</t>
  </si>
  <si>
    <t>Heavy load - Lower deck</t>
  </si>
  <si>
    <t>Zone B-3</t>
  </si>
  <si>
    <t>Miami</t>
  </si>
  <si>
    <t>PKG-2007</t>
  </si>
  <si>
    <t>TRK-90007</t>
  </si>
  <si>
    <t>Bulk Office Paper Trays</t>
  </si>
  <si>
    <t>Zone A-2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</si>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</sst>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3" max="3" width="31.42578125" customWidth="1"/>
    <col min="11" max="11" width="14.85546875" customWidth="1"/>
    <col min="13" max="13" width="22" customWidth="1"/>
    <col min="14" max="14" width="18.42578125" customWidth="1"/>
    <col min="15" max="15" width="17.140625" customWidth="1"/>
  </cols>
  <sheetData>
    <row r="1" spans="1:1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26</v>
      </c>
      <c r="E2" s="2">
        <v>1</v>
      </c>
      <c r="F2" s="3">
        <v>13</v>
      </c>
      <c r="G2" s="2">
        <v>70</v>
      </c>
      <c r="H2" s="2">
        <v>40</v>
      </c>
      <c r="I2" s="2">
        <v>40</v>
      </c>
      <c r="J2" s="4">
        <f t="shared" ref="J2:J8" si="0">G2*H2*I2/1000000</f>
        <v>0.112</v>
      </c>
      <c r="K2" s="4">
        <f t="shared" ref="K2:K8" si="1">J2*D2</f>
        <v>2.9119999999999999</v>
      </c>
      <c r="L2" s="2" t="s">
        <v>19</v>
      </c>
      <c r="M2" s="2" t="s">
        <v>20</v>
      </c>
      <c r="N2" s="2" t="s">
        <v>21</v>
      </c>
      <c r="O2" s="2">
        <v>1</v>
      </c>
      <c r="P2" s="2" t="s">
        <v>22</v>
      </c>
    </row>
    <row r="3" spans="1:16" x14ac:dyDescent="0.25">
      <c r="A3" s="2" t="s">
        <v>23</v>
      </c>
      <c r="B3" s="2" t="s">
        <v>24</v>
      </c>
      <c r="C3" s="2" t="s">
        <v>25</v>
      </c>
      <c r="D3" s="2">
        <v>54</v>
      </c>
      <c r="E3" s="2">
        <v>10</v>
      </c>
      <c r="F3" s="3">
        <v>8.5</v>
      </c>
      <c r="G3" s="2">
        <v>50</v>
      </c>
      <c r="H3" s="2">
        <v>50</v>
      </c>
      <c r="I3" s="2">
        <v>40</v>
      </c>
      <c r="J3" s="4">
        <f t="shared" si="0"/>
        <v>0.1</v>
      </c>
      <c r="K3" s="4">
        <f t="shared" si="1"/>
        <v>5.4</v>
      </c>
      <c r="L3" s="2" t="s">
        <v>19</v>
      </c>
      <c r="M3" s="2" t="s">
        <v>20</v>
      </c>
      <c r="N3" s="2" t="s">
        <v>26</v>
      </c>
      <c r="O3" s="2">
        <v>2</v>
      </c>
      <c r="P3" s="2" t="s">
        <v>27</v>
      </c>
    </row>
    <row r="4" spans="1:16" x14ac:dyDescent="0.25">
      <c r="A4" s="2" t="s">
        <v>28</v>
      </c>
      <c r="B4" s="2" t="s">
        <v>29</v>
      </c>
      <c r="C4" s="2" t="s">
        <v>30</v>
      </c>
      <c r="D4" s="2">
        <v>3</v>
      </c>
      <c r="E4" s="2">
        <v>1</v>
      </c>
      <c r="F4" s="3">
        <v>45</v>
      </c>
      <c r="G4" s="2">
        <v>80</v>
      </c>
      <c r="H4" s="2">
        <v>120</v>
      </c>
      <c r="I4" s="2">
        <v>120</v>
      </c>
      <c r="J4" s="4">
        <f t="shared" si="0"/>
        <v>1.1519999999999999</v>
      </c>
      <c r="K4" s="4">
        <f t="shared" si="1"/>
        <v>3.4559999999999995</v>
      </c>
      <c r="L4" s="2" t="s">
        <v>31</v>
      </c>
      <c r="M4" s="2" t="s">
        <v>32</v>
      </c>
      <c r="N4" s="2" t="s">
        <v>33</v>
      </c>
      <c r="O4" s="2">
        <v>3</v>
      </c>
      <c r="P4" s="2" t="s">
        <v>34</v>
      </c>
    </row>
    <row r="5" spans="1:16" x14ac:dyDescent="0.25">
      <c r="A5" s="2" t="s">
        <v>35</v>
      </c>
      <c r="B5" s="2" t="s">
        <v>36</v>
      </c>
      <c r="C5" s="2" t="s">
        <v>37</v>
      </c>
      <c r="D5" s="2">
        <v>89</v>
      </c>
      <c r="E5" s="2">
        <v>20</v>
      </c>
      <c r="F5" s="3">
        <v>10</v>
      </c>
      <c r="G5" s="2">
        <v>50</v>
      </c>
      <c r="H5" s="2">
        <v>40</v>
      </c>
      <c r="I5" s="2">
        <v>40</v>
      </c>
      <c r="J5" s="4">
        <f t="shared" si="0"/>
        <v>0.08</v>
      </c>
      <c r="K5" s="4">
        <f t="shared" si="1"/>
        <v>7.12</v>
      </c>
      <c r="L5" s="2" t="s">
        <v>19</v>
      </c>
      <c r="M5" s="2" t="s">
        <v>20</v>
      </c>
      <c r="N5" s="2" t="s">
        <v>38</v>
      </c>
      <c r="O5" s="2">
        <v>4</v>
      </c>
      <c r="P5" s="2" t="s">
        <v>39</v>
      </c>
    </row>
    <row r="6" spans="1:16" x14ac:dyDescent="0.25">
      <c r="A6" s="2" t="s">
        <v>40</v>
      </c>
      <c r="B6" s="2" t="s">
        <v>41</v>
      </c>
      <c r="C6" s="2" t="s">
        <v>42</v>
      </c>
      <c r="D6" s="2">
        <v>16</v>
      </c>
      <c r="E6" s="2">
        <v>8</v>
      </c>
      <c r="F6" s="3">
        <v>14</v>
      </c>
      <c r="G6" s="2">
        <v>50</v>
      </c>
      <c r="H6" s="2">
        <v>50</v>
      </c>
      <c r="I6" s="2">
        <v>45</v>
      </c>
      <c r="J6" s="4">
        <f t="shared" si="0"/>
        <v>0.1125</v>
      </c>
      <c r="K6" s="4">
        <f t="shared" si="1"/>
        <v>1.8</v>
      </c>
      <c r="L6" s="2" t="s">
        <v>31</v>
      </c>
      <c r="M6" s="2" t="s">
        <v>43</v>
      </c>
      <c r="N6" s="2" t="s">
        <v>44</v>
      </c>
      <c r="O6" s="2">
        <v>5</v>
      </c>
      <c r="P6" s="2" t="s">
        <v>45</v>
      </c>
    </row>
    <row r="7" spans="1:16" x14ac:dyDescent="0.25">
      <c r="A7" s="2" t="s">
        <v>46</v>
      </c>
      <c r="B7" s="2" t="s">
        <v>47</v>
      </c>
      <c r="C7" s="2" t="s">
        <v>48</v>
      </c>
      <c r="D7" s="2">
        <v>19</v>
      </c>
      <c r="E7" s="2">
        <v>2</v>
      </c>
      <c r="F7" s="3">
        <v>22</v>
      </c>
      <c r="G7" s="2">
        <v>80</v>
      </c>
      <c r="H7" s="2">
        <v>60</v>
      </c>
      <c r="I7" s="2">
        <v>40</v>
      </c>
      <c r="J7" s="4">
        <f t="shared" si="0"/>
        <v>0.192</v>
      </c>
      <c r="K7" s="4">
        <f t="shared" si="1"/>
        <v>3.6480000000000001</v>
      </c>
      <c r="L7" s="2" t="s">
        <v>19</v>
      </c>
      <c r="M7" s="2" t="s">
        <v>49</v>
      </c>
      <c r="N7" s="2" t="s">
        <v>50</v>
      </c>
      <c r="O7" s="2">
        <v>6</v>
      </c>
      <c r="P7" s="2" t="s">
        <v>51</v>
      </c>
    </row>
    <row r="8" spans="1:16" x14ac:dyDescent="0.25">
      <c r="A8" s="2" t="s">
        <v>52</v>
      </c>
      <c r="B8" s="2" t="s">
        <v>53</v>
      </c>
      <c r="C8" s="2" t="s">
        <v>54</v>
      </c>
      <c r="D8" s="2">
        <v>96</v>
      </c>
      <c r="E8" s="2">
        <v>5</v>
      </c>
      <c r="F8" s="3">
        <v>12.5</v>
      </c>
      <c r="G8" s="2">
        <v>45</v>
      </c>
      <c r="H8" s="2">
        <v>35</v>
      </c>
      <c r="I8" s="2">
        <v>30</v>
      </c>
      <c r="J8" s="4">
        <f t="shared" si="0"/>
        <v>4.725E-2</v>
      </c>
      <c r="K8" s="4">
        <f t="shared" si="1"/>
        <v>4.5359999999999996</v>
      </c>
      <c r="L8" s="2" t="s">
        <v>19</v>
      </c>
      <c r="M8" s="2" t="s">
        <v>20</v>
      </c>
      <c r="N8" s="2" t="s">
        <v>55</v>
      </c>
      <c r="O8" s="2">
        <v>7</v>
      </c>
      <c r="P8" s="2" t="s">
        <v>56</v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 Truck Cargo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2026-09-19T18:13:27Z</dcterms:created>
  <dcterms:modified xsi:type="dcterms:W3CDTF">2026-09-19T20:35:26Z</dcterms:modified>
</cp:coreProperties>
</file>